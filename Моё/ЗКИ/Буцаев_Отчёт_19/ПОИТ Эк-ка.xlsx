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/>
  <mc:AlternateContent xmlns:mc="http://schemas.openxmlformats.org/markup-compatibility/2006">
    <mc:Choice Requires="x15">
      <x15ac:absPath xmlns:x15ac="http://schemas.microsoft.com/office/spreadsheetml/2010/11/ac" url="D:\Учёба\ЗКИ\"/>
    </mc:Choice>
  </mc:AlternateContent>
  <xr:revisionPtr revIDLastSave="0" documentId="13_ncr:1_{27B33846-8A30-4226-8D72-7FB69D2F6B26}" xr6:coauthVersionLast="43" xr6:coauthVersionMax="43" xr10:uidLastSave="{00000000-0000-0000-0000-000000000000}"/>
  <bookViews>
    <workbookView xWindow="-120" yWindow="-120" windowWidth="20730" windowHeight="11160" firstSheet="2" activeTab="6" xr2:uid="{00000000-000D-0000-FFFF-FFFF00000000}"/>
  </bookViews>
  <sheets>
    <sheet name="Исходные данные" sheetId="5" r:id="rId1"/>
    <sheet name="План работы" sheetId="1" r:id="rId2"/>
    <sheet name="Трудоемкость" sheetId="2" r:id="rId3"/>
    <sheet name="Ленточный график" sheetId="3" r:id="rId4"/>
    <sheet name="Основная зп" sheetId="6" r:id="rId5"/>
    <sheet name="Калькуляция" sheetId="4" r:id="rId6"/>
    <sheet name="Экономия времени" sheetId="7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1" l="1"/>
  <c r="B11" i="5"/>
  <c r="E3" i="5" l="1"/>
  <c r="G7" i="7"/>
  <c r="C7" i="7"/>
  <c r="B7" i="7"/>
  <c r="D6" i="7"/>
  <c r="H6" i="7" s="1"/>
  <c r="I6" i="7" s="1"/>
  <c r="D4" i="7"/>
  <c r="H4" i="7" s="1"/>
  <c r="I4" i="7" s="1"/>
  <c r="D5" i="7"/>
  <c r="H5" i="7" s="1"/>
  <c r="I5" i="7" s="1"/>
  <c r="D3" i="7"/>
  <c r="H3" i="7" s="1"/>
  <c r="C9" i="6"/>
  <c r="C8" i="6"/>
  <c r="C7" i="6"/>
  <c r="C6" i="6"/>
  <c r="C5" i="6"/>
  <c r="C4" i="6"/>
  <c r="B5" i="6"/>
  <c r="B6" i="6"/>
  <c r="B7" i="6"/>
  <c r="B8" i="6"/>
  <c r="B9" i="6"/>
  <c r="B10" i="6"/>
  <c r="B4" i="6"/>
  <c r="D6" i="3"/>
  <c r="D8" i="3"/>
  <c r="D7" i="6" l="1"/>
  <c r="D5" i="6"/>
  <c r="D6" i="6"/>
  <c r="D8" i="6"/>
  <c r="D9" i="6"/>
  <c r="D4" i="6"/>
  <c r="D7" i="7"/>
  <c r="I3" i="7"/>
  <c r="I7" i="7" s="1"/>
  <c r="H7" i="7"/>
  <c r="E4" i="5"/>
  <c r="E5" i="5"/>
  <c r="C10" i="6"/>
  <c r="C5" i="2"/>
  <c r="C6" i="2"/>
  <c r="D6" i="2" s="1"/>
  <c r="C7" i="2"/>
  <c r="C8" i="2"/>
  <c r="C9" i="2"/>
  <c r="C4" i="2"/>
  <c r="F7" i="2" l="1"/>
  <c r="B4" i="2"/>
  <c r="D5" i="2"/>
  <c r="F5" i="2" s="1"/>
  <c r="B5" i="2"/>
  <c r="B8" i="2"/>
  <c r="E8" i="2" s="1"/>
  <c r="E9" i="2"/>
  <c r="E5" i="2"/>
  <c r="F6" i="2"/>
  <c r="C10" i="2"/>
  <c r="D10" i="6"/>
  <c r="D6" i="4" s="1"/>
  <c r="D7" i="4" s="1"/>
  <c r="D10" i="4" s="1"/>
  <c r="F9" i="2"/>
  <c r="E6" i="5"/>
  <c r="E7" i="5" s="1"/>
  <c r="B9" i="5"/>
  <c r="B10" i="5"/>
  <c r="D11" i="4" l="1"/>
  <c r="F8" i="2"/>
  <c r="D10" i="2"/>
  <c r="E7" i="2"/>
  <c r="E6" i="2"/>
  <c r="F4" i="2"/>
  <c r="E4" i="2"/>
  <c r="B10" i="2"/>
  <c r="B13" i="5"/>
  <c r="D9" i="4"/>
  <c r="D12" i="4" s="1"/>
  <c r="D14" i="4" s="1"/>
  <c r="B12" i="5" s="1"/>
  <c r="E10" i="2" l="1"/>
  <c r="F10" i="2"/>
  <c r="B14" i="5"/>
  <c r="B15" i="5" s="1"/>
</calcChain>
</file>

<file path=xl/sharedStrings.xml><?xml version="1.0" encoding="utf-8"?>
<sst xmlns="http://schemas.openxmlformats.org/spreadsheetml/2006/main" count="122" uniqueCount="84">
  <si>
    <t>План проведения научно-исследовательской работы</t>
  </si>
  <si>
    <t>№ п/п</t>
  </si>
  <si>
    <t xml:space="preserve">  Наименование этапов и видов работ</t>
  </si>
  <si>
    <t>Исполнитель (должность, квалификация)</t>
  </si>
  <si>
    <t>Разработка постановки задачи, организационно-экономическая сущность программы, определение входной, постоянной, выходной информации, выбор математической модели. Выбор операционной системы, выбор языка программирования и системы управления базы данных.</t>
  </si>
  <si>
    <t>Техник-программист</t>
  </si>
  <si>
    <t>Разработка и отладка программного продукта. Испытание программы.</t>
  </si>
  <si>
    <t>Оформление проектной документации.</t>
  </si>
  <si>
    <t>Работа над разделом энергосбережения и охрана труда.</t>
  </si>
  <si>
    <t>Работа над экономическим разделом.</t>
  </si>
  <si>
    <t>Оформление пояснительной записки.</t>
  </si>
  <si>
    <t>Итого:</t>
  </si>
  <si>
    <t>Количест-во исполнителей</t>
  </si>
  <si>
    <t>Трудоемкость, чело веко-дни,tож</t>
  </si>
  <si>
    <t>Таблица 26 - Оценка трудоемкости</t>
  </si>
  <si>
    <t>Вид работы</t>
  </si>
  <si>
    <t>Оценка трудоемкости</t>
  </si>
  <si>
    <t>Расчетные величины</t>
  </si>
  <si>
    <r>
      <t>t</t>
    </r>
    <r>
      <rPr>
        <vertAlign val="subscript"/>
        <sz val="12"/>
        <color theme="1"/>
        <rFont val="Times New Roman"/>
        <family val="1"/>
        <charset val="204"/>
      </rPr>
      <t>min</t>
    </r>
  </si>
  <si>
    <r>
      <t>t</t>
    </r>
    <r>
      <rPr>
        <vertAlign val="subscript"/>
        <sz val="12"/>
        <color theme="1"/>
        <rFont val="Times New Roman"/>
        <family val="1"/>
        <charset val="204"/>
      </rPr>
      <t>H.B</t>
    </r>
  </si>
  <si>
    <r>
      <t>t</t>
    </r>
    <r>
      <rPr>
        <vertAlign val="subscript"/>
        <sz val="12"/>
        <color theme="1"/>
        <rFont val="Times New Roman"/>
        <family val="1"/>
        <charset val="204"/>
      </rPr>
      <t>max</t>
    </r>
  </si>
  <si>
    <r>
      <t>t</t>
    </r>
    <r>
      <rPr>
        <vertAlign val="subscript"/>
        <sz val="12"/>
        <color theme="1"/>
        <rFont val="Times New Roman"/>
        <family val="1"/>
        <charset val="204"/>
      </rPr>
      <t>ож</t>
    </r>
  </si>
  <si>
    <t>D</t>
  </si>
  <si>
    <t>27 - Ленточный график создания программного продукта</t>
  </si>
  <si>
    <t>Наименование этапов и видов работ</t>
  </si>
  <si>
    <t>Форма калькуляции плановой себестоимости</t>
  </si>
  <si>
    <t>№</t>
  </si>
  <si>
    <t>Статьи затрат</t>
  </si>
  <si>
    <r>
      <t xml:space="preserve">   </t>
    </r>
    <r>
      <rPr>
        <sz val="12"/>
        <color theme="1"/>
        <rFont val="Times New Roman"/>
        <family val="1"/>
        <charset val="204"/>
      </rPr>
      <t>Сумма затрат, руб.</t>
    </r>
  </si>
  <si>
    <t>Материалы и оборудование</t>
  </si>
  <si>
    <t>Расходы на оплату труда:</t>
  </si>
  <si>
    <t>Основная заработная плата разработчиков продукта</t>
  </si>
  <si>
    <t>Дополнительная заработная плата разработчиков продукта</t>
  </si>
  <si>
    <t>Отчисления на социальные нужды:</t>
  </si>
  <si>
    <t>Отчисления в фонд социальной защиты населения</t>
  </si>
  <si>
    <t>Отчисления в Белгосстрах</t>
  </si>
  <si>
    <r>
      <t>О</t>
    </r>
    <r>
      <rPr>
        <vertAlign val="subscript"/>
        <sz val="12"/>
        <color theme="1"/>
        <rFont val="Times New Roman"/>
        <family val="1"/>
        <charset val="204"/>
      </rPr>
      <t>б</t>
    </r>
  </si>
  <si>
    <t>Косвенные накладные расходы</t>
  </si>
  <si>
    <t>Полная себестоимость</t>
  </si>
  <si>
    <t>Налог на добавленную стоимость</t>
  </si>
  <si>
    <t>НДС</t>
  </si>
  <si>
    <t>Отпускная цена программного продукта</t>
  </si>
  <si>
    <t>Условное  обозначение</t>
  </si>
  <si>
    <t>2.1</t>
  </si>
  <si>
    <t>2.2</t>
  </si>
  <si>
    <t>3.1</t>
  </si>
  <si>
    <t>3.2</t>
  </si>
  <si>
    <t>Фонд рабочего времени</t>
  </si>
  <si>
    <t>Тарифный коэффициент</t>
  </si>
  <si>
    <t>Месячный оклад</t>
  </si>
  <si>
    <t>Количество рабочих часов</t>
  </si>
  <si>
    <t>Дополнительная заработная плата</t>
  </si>
  <si>
    <t>ФСЗН</t>
  </si>
  <si>
    <t>Белгосстрах</t>
  </si>
  <si>
    <t>Косвенные расходы</t>
  </si>
  <si>
    <t xml:space="preserve">Определение суммы основной заработной платы </t>
  </si>
  <si>
    <t>Вид работ</t>
  </si>
  <si>
    <t>Трудоемкость, чел/дни</t>
  </si>
  <si>
    <t>Дневная ставка, бел.руб</t>
  </si>
  <si>
    <t>Сумма основной заработной платы, бел. руб.</t>
  </si>
  <si>
    <t>Разработка постановки задачи, организационно-экономическая сущность программы, определение входной информации, выбор математической модели. Выбор операционной системы, выбор языка программирования и системы управления баз данных.</t>
  </si>
  <si>
    <t>Работа над разделом экология и охрана труда.</t>
  </si>
  <si>
    <t>Оформление пояснительной записки</t>
  </si>
  <si>
    <t>Определение экономии времени</t>
  </si>
  <si>
    <t>Перечень услуг программного продукта</t>
  </si>
  <si>
    <t>Время после автоматизации, ч</t>
  </si>
  <si>
    <t>Время до автоматизации, ч</t>
  </si>
  <si>
    <t>Экономия времени, ч</t>
  </si>
  <si>
    <t>Определение годового фонда времени</t>
  </si>
  <si>
    <t>Экономия времени</t>
  </si>
  <si>
    <t>Годовой фонд времени</t>
  </si>
  <si>
    <t>Годовой фонд заработной платы диспетчера</t>
  </si>
  <si>
    <t>ИТОГО</t>
  </si>
  <si>
    <t>ИТОГО за год</t>
  </si>
  <si>
    <t>Условная экономия</t>
  </si>
  <si>
    <t>Экономический эффект</t>
  </si>
  <si>
    <t>Рентабельность</t>
  </si>
  <si>
    <t>К</t>
  </si>
  <si>
    <t>1 Ввод даных в базу данных</t>
  </si>
  <si>
    <t>Количество операций в полгода</t>
  </si>
  <si>
    <t>Полугодовой фонд времени, ч</t>
  </si>
  <si>
    <t>2. Учет количества нарушителей</t>
  </si>
  <si>
    <t>3. Учет нарушений</t>
  </si>
  <si>
    <t>4. Формирование отчетов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</si>
</sst>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vertAlign val="subscript"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justify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justify" vertical="center" wrapText="1"/>
    </xf>
    <xf numFmtId="0" fontId="1" fillId="0" borderId="0" xfId="0" applyFont="1" applyAlignment="1">
      <alignment horizontal="left" vertical="center" indent="1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3" fontId="1" fillId="0" borderId="5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4" fillId="0" borderId="0" xfId="0" applyFont="1"/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 indent="3"/>
    </xf>
    <xf numFmtId="0" fontId="0" fillId="0" borderId="0" xfId="0" applyAlignment="1">
      <alignment horizontal="left" indent="1"/>
    </xf>
    <xf numFmtId="0" fontId="4" fillId="0" borderId="7" xfId="0" applyFont="1" applyBorder="1"/>
    <xf numFmtId="0" fontId="4" fillId="0" borderId="7" xfId="0" applyFont="1" applyBorder="1" applyAlignment="1">
      <alignment horizontal="right"/>
    </xf>
    <xf numFmtId="0" fontId="1" fillId="0" borderId="7" xfId="0" applyFont="1" applyBorder="1" applyAlignment="1">
      <alignment horizontal="justify" vertical="center" wrapText="1"/>
    </xf>
    <xf numFmtId="164" fontId="4" fillId="0" borderId="7" xfId="0" applyNumberFormat="1" applyFont="1" applyBorder="1"/>
    <xf numFmtId="1" fontId="4" fillId="0" borderId="7" xfId="0" applyNumberFormat="1" applyFont="1" applyBorder="1"/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justify" vertical="center" wrapText="1"/>
    </xf>
    <xf numFmtId="0" fontId="1" fillId="0" borderId="8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165" fontId="4" fillId="0" borderId="7" xfId="0" applyNumberFormat="1" applyFont="1" applyBorder="1"/>
    <xf numFmtId="0" fontId="4" fillId="0" borderId="7" xfId="0" applyFont="1" applyBorder="1" applyAlignment="1">
      <alignment horizontal="justify" vertical="center" wrapText="1"/>
    </xf>
    <xf numFmtId="0" fontId="1" fillId="0" borderId="7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7" Type="http://schemas.openxmlformats.org/officeDocument/2006/relationships/image" Target="../media/image7.wmf"/><Relationship Id="rId2" Type="http://schemas.openxmlformats.org/officeDocument/2006/relationships/image" Target="../media/image2.emf"/><Relationship Id="rId1" Type="http://schemas.openxmlformats.org/officeDocument/2006/relationships/image" Target="../media/image1.wmf"/><Relationship Id="rId6" Type="http://schemas.openxmlformats.org/officeDocument/2006/relationships/image" Target="../media/image6.wmf"/><Relationship Id="rId5" Type="http://schemas.openxmlformats.org/officeDocument/2006/relationships/image" Target="../media/image5.wmf"/><Relationship Id="rId4" Type="http://schemas.openxmlformats.org/officeDocument/2006/relationships/image" Target="../media/image4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333375</xdr:colOff>
          <xdr:row>3</xdr:row>
          <xdr:rowOff>0</xdr:rowOff>
        </xdr:from>
        <xdr:to>
          <xdr:col>2</xdr:col>
          <xdr:colOff>552450</xdr:colOff>
          <xdr:row>4</xdr:row>
          <xdr:rowOff>0</xdr:rowOff>
        </xdr:to>
        <xdr:sp macro="" textlink="">
          <xdr:nvSpPr>
            <xdr:cNvPr id="2055" name="Object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5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314325</xdr:colOff>
          <xdr:row>5</xdr:row>
          <xdr:rowOff>28575</xdr:rowOff>
        </xdr:from>
        <xdr:to>
          <xdr:col>2</xdr:col>
          <xdr:colOff>838200</xdr:colOff>
          <xdr:row>5</xdr:row>
          <xdr:rowOff>209550</xdr:rowOff>
        </xdr:to>
        <xdr:sp macro="" textlink="">
          <xdr:nvSpPr>
            <xdr:cNvPr id="2054" name="Object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5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390525</xdr:colOff>
          <xdr:row>6</xdr:row>
          <xdr:rowOff>28575</xdr:rowOff>
        </xdr:from>
        <xdr:to>
          <xdr:col>2</xdr:col>
          <xdr:colOff>609600</xdr:colOff>
          <xdr:row>6</xdr:row>
          <xdr:rowOff>266700</xdr:rowOff>
        </xdr:to>
        <xdr:sp macro="" textlink="">
          <xdr:nvSpPr>
            <xdr:cNvPr id="2053" name="Object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5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342900</xdr:colOff>
          <xdr:row>8</xdr:row>
          <xdr:rowOff>38100</xdr:rowOff>
        </xdr:from>
        <xdr:to>
          <xdr:col>2</xdr:col>
          <xdr:colOff>619125</xdr:colOff>
          <xdr:row>8</xdr:row>
          <xdr:rowOff>276225</xdr:rowOff>
        </xdr:to>
        <xdr:sp macro="" textlink="">
          <xdr:nvSpPr>
            <xdr:cNvPr id="2052" name="Object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5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333375</xdr:colOff>
          <xdr:row>10</xdr:row>
          <xdr:rowOff>9525</xdr:rowOff>
        </xdr:from>
        <xdr:to>
          <xdr:col>2</xdr:col>
          <xdr:colOff>676275</xdr:colOff>
          <xdr:row>10</xdr:row>
          <xdr:rowOff>238125</xdr:rowOff>
        </xdr:to>
        <xdr:sp macro="" textlink="">
          <xdr:nvSpPr>
            <xdr:cNvPr id="2051" name="Object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5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352425</xdr:colOff>
          <xdr:row>11</xdr:row>
          <xdr:rowOff>28575</xdr:rowOff>
        </xdr:from>
        <xdr:to>
          <xdr:col>2</xdr:col>
          <xdr:colOff>581025</xdr:colOff>
          <xdr:row>11</xdr:row>
          <xdr:rowOff>247650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5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276225</xdr:colOff>
          <xdr:row>13</xdr:row>
          <xdr:rowOff>47625</xdr:rowOff>
        </xdr:from>
        <xdr:to>
          <xdr:col>2</xdr:col>
          <xdr:colOff>647700</xdr:colOff>
          <xdr:row>13</xdr:row>
          <xdr:rowOff>276225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5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w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w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wmf"/><Relationship Id="rId5" Type="http://schemas.openxmlformats.org/officeDocument/2006/relationships/image" Target="../media/image1.wmf"/><Relationship Id="rId15" Type="http://schemas.openxmlformats.org/officeDocument/2006/relationships/image" Target="../media/image6.w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wmf"/><Relationship Id="rId14" Type="http://schemas.openxmlformats.org/officeDocument/2006/relationships/oleObject" Target="../embeddings/oleObject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zoomScale="85" zoomScaleNormal="85" workbookViewId="0">
      <selection activeCell="E7" sqref="E7"/>
    </sheetView>
  </sheetViews>
  <sheetFormatPr defaultRowHeight="18.75" x14ac:dyDescent="0.3"/>
  <cols>
    <col min="1" max="1" width="41.7109375" style="20" bestFit="1" customWidth="1"/>
    <col min="2" max="2" width="7.85546875" style="20" bestFit="1" customWidth="1"/>
    <col min="3" max="3" width="9.140625" style="20"/>
    <col min="4" max="4" width="54.5703125" style="20" bestFit="1" customWidth="1"/>
    <col min="5" max="5" width="11.85546875" style="20" bestFit="1" customWidth="1"/>
    <col min="6" max="16384" width="9.140625" style="20"/>
  </cols>
  <sheetData>
    <row r="1" spans="1:5" x14ac:dyDescent="0.3">
      <c r="A1" s="27" t="s">
        <v>47</v>
      </c>
      <c r="B1" s="27">
        <v>168.8</v>
      </c>
      <c r="D1" s="27" t="s">
        <v>71</v>
      </c>
      <c r="E1" s="27"/>
    </row>
    <row r="2" spans="1:5" ht="37.5" x14ac:dyDescent="0.3">
      <c r="A2" s="27" t="s">
        <v>48</v>
      </c>
      <c r="B2" s="27">
        <v>2.84</v>
      </c>
      <c r="D2" s="37" t="s">
        <v>31</v>
      </c>
      <c r="E2" s="27">
        <v>600</v>
      </c>
    </row>
    <row r="3" spans="1:5" ht="37.5" x14ac:dyDescent="0.3">
      <c r="A3" s="27" t="s">
        <v>49</v>
      </c>
      <c r="B3" s="27">
        <v>500</v>
      </c>
      <c r="D3" s="37" t="s">
        <v>32</v>
      </c>
      <c r="E3" s="27">
        <f>E2*B5</f>
        <v>120</v>
      </c>
    </row>
    <row r="4" spans="1:5" ht="37.5" x14ac:dyDescent="0.3">
      <c r="A4" s="27" t="s">
        <v>50</v>
      </c>
      <c r="B4" s="27">
        <v>6</v>
      </c>
      <c r="D4" s="37" t="s">
        <v>34</v>
      </c>
      <c r="E4" s="27">
        <f>(E2+E3)*B6</f>
        <v>244.8</v>
      </c>
    </row>
    <row r="5" spans="1:5" x14ac:dyDescent="0.3">
      <c r="A5" s="27" t="s">
        <v>51</v>
      </c>
      <c r="B5" s="27">
        <v>0.2</v>
      </c>
      <c r="D5" s="37" t="s">
        <v>35</v>
      </c>
      <c r="E5" s="27">
        <f>(E2+E3)*B7</f>
        <v>4.32</v>
      </c>
    </row>
    <row r="6" spans="1:5" x14ac:dyDescent="0.3">
      <c r="A6" s="27" t="s">
        <v>52</v>
      </c>
      <c r="B6" s="27">
        <v>0.34</v>
      </c>
      <c r="D6" s="28" t="s">
        <v>72</v>
      </c>
      <c r="E6" s="27">
        <f>SUM(E2:E5)</f>
        <v>969.12</v>
      </c>
    </row>
    <row r="7" spans="1:5" x14ac:dyDescent="0.3">
      <c r="A7" s="27" t="s">
        <v>53</v>
      </c>
      <c r="B7" s="27">
        <v>6.0000000000000001E-3</v>
      </c>
      <c r="D7" s="28" t="s">
        <v>73</v>
      </c>
      <c r="E7" s="27">
        <f>E6*12</f>
        <v>11629.44</v>
      </c>
    </row>
    <row r="8" spans="1:5" x14ac:dyDescent="0.3">
      <c r="A8" s="27" t="s">
        <v>54</v>
      </c>
      <c r="B8" s="27">
        <v>0.65</v>
      </c>
    </row>
    <row r="9" spans="1:5" x14ac:dyDescent="0.3">
      <c r="A9" s="27" t="s">
        <v>69</v>
      </c>
      <c r="B9" s="27">
        <f>'Экономия времени'!I7</f>
        <v>752</v>
      </c>
    </row>
    <row r="10" spans="1:5" x14ac:dyDescent="0.3">
      <c r="A10" s="20" t="s">
        <v>77</v>
      </c>
      <c r="B10" s="30">
        <f>'Экономия времени'!I7/'Исходные данные'!B11</f>
        <v>4.6040816326530614</v>
      </c>
    </row>
    <row r="11" spans="1:5" x14ac:dyDescent="0.3">
      <c r="A11" s="27" t="s">
        <v>70</v>
      </c>
      <c r="B11" s="36">
        <f>980/6</f>
        <v>163.33333333333334</v>
      </c>
    </row>
    <row r="12" spans="1:5" ht="37.5" x14ac:dyDescent="0.3">
      <c r="A12" s="37" t="s">
        <v>41</v>
      </c>
      <c r="B12" s="31">
        <f>Калькуляция!D14</f>
        <v>2540.494407582938</v>
      </c>
    </row>
    <row r="13" spans="1:5" x14ac:dyDescent="0.3">
      <c r="A13" s="27" t="s">
        <v>74</v>
      </c>
      <c r="B13" s="31">
        <f>E7*B10</f>
        <v>53542.89110204082</v>
      </c>
    </row>
    <row r="14" spans="1:5" x14ac:dyDescent="0.3">
      <c r="A14" s="27" t="s">
        <v>75</v>
      </c>
      <c r="B14" s="31">
        <f>B13-B12</f>
        <v>51002.396694457879</v>
      </c>
    </row>
    <row r="15" spans="1:5" x14ac:dyDescent="0.3">
      <c r="A15" s="27" t="s">
        <v>76</v>
      </c>
      <c r="B15" s="36">
        <f>B12/B14*100</f>
        <v>4.9811275003454849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zoomScale="70" zoomScaleNormal="70" workbookViewId="0">
      <selection activeCell="L5" sqref="L5"/>
    </sheetView>
  </sheetViews>
  <sheetFormatPr defaultRowHeight="15" x14ac:dyDescent="0.25"/>
  <cols>
    <col min="1" max="1" width="13" customWidth="1"/>
    <col min="2" max="2" width="73.140625" customWidth="1"/>
    <col min="3" max="3" width="16.28515625" customWidth="1"/>
  </cols>
  <sheetData>
    <row r="1" spans="1:5" ht="16.5" thickBot="1" x14ac:dyDescent="0.3">
      <c r="A1" s="32" t="s">
        <v>0</v>
      </c>
      <c r="B1" s="32"/>
      <c r="C1" s="32"/>
      <c r="D1" s="32"/>
      <c r="E1" s="32"/>
    </row>
    <row r="2" spans="1:5" ht="77.25" customHeight="1" x14ac:dyDescent="0.25">
      <c r="A2" s="1" t="s">
        <v>1</v>
      </c>
      <c r="B2" s="1" t="s">
        <v>2</v>
      </c>
      <c r="C2" s="1" t="s">
        <v>3</v>
      </c>
      <c r="D2" s="1" t="s">
        <v>12</v>
      </c>
      <c r="E2" s="1" t="s">
        <v>13</v>
      </c>
    </row>
    <row r="3" spans="1:5" ht="15.75" x14ac:dyDescent="0.25">
      <c r="A3" s="6">
        <v>1</v>
      </c>
      <c r="B3" s="6">
        <v>2</v>
      </c>
      <c r="C3" s="6">
        <v>3</v>
      </c>
      <c r="D3" s="6">
        <v>4</v>
      </c>
      <c r="E3" s="6">
        <v>5</v>
      </c>
    </row>
    <row r="4" spans="1:5" ht="89.25" customHeight="1" thickBot="1" x14ac:dyDescent="0.3">
      <c r="A4" s="3">
        <v>1</v>
      </c>
      <c r="B4" s="4" t="s">
        <v>4</v>
      </c>
      <c r="C4" s="2" t="s">
        <v>5</v>
      </c>
      <c r="D4" s="2">
        <v>1</v>
      </c>
      <c r="E4" s="2">
        <v>2</v>
      </c>
    </row>
    <row r="5" spans="1:5" ht="37.5" customHeight="1" thickBot="1" x14ac:dyDescent="0.3">
      <c r="A5" s="3">
        <v>2</v>
      </c>
      <c r="B5" s="4" t="s">
        <v>6</v>
      </c>
      <c r="C5" s="2" t="s">
        <v>5</v>
      </c>
      <c r="D5" s="2">
        <v>1</v>
      </c>
      <c r="E5" s="2">
        <v>13</v>
      </c>
    </row>
    <row r="6" spans="1:5" ht="37.5" customHeight="1" thickBot="1" x14ac:dyDescent="0.3">
      <c r="A6" s="3">
        <v>3</v>
      </c>
      <c r="B6" s="4" t="s">
        <v>7</v>
      </c>
      <c r="C6" s="2" t="s">
        <v>5</v>
      </c>
      <c r="D6" s="2">
        <v>1</v>
      </c>
      <c r="E6" s="2">
        <v>2</v>
      </c>
    </row>
    <row r="7" spans="1:5" ht="37.5" customHeight="1" thickBot="1" x14ac:dyDescent="0.3">
      <c r="A7" s="3">
        <v>4</v>
      </c>
      <c r="B7" s="4" t="s">
        <v>8</v>
      </c>
      <c r="C7" s="2" t="s">
        <v>5</v>
      </c>
      <c r="D7" s="2">
        <v>1</v>
      </c>
      <c r="E7" s="2">
        <v>3</v>
      </c>
    </row>
    <row r="8" spans="1:5" ht="37.5" customHeight="1" thickBot="1" x14ac:dyDescent="0.3">
      <c r="A8" s="3">
        <v>5</v>
      </c>
      <c r="B8" s="5" t="s">
        <v>9</v>
      </c>
      <c r="C8" s="2" t="s">
        <v>5</v>
      </c>
      <c r="D8" s="2">
        <v>1</v>
      </c>
      <c r="E8" s="2">
        <v>2</v>
      </c>
    </row>
    <row r="9" spans="1:5" ht="37.5" customHeight="1" thickBot="1" x14ac:dyDescent="0.3">
      <c r="A9" s="3">
        <v>6</v>
      </c>
      <c r="B9" s="4" t="s">
        <v>10</v>
      </c>
      <c r="C9" s="2" t="s">
        <v>5</v>
      </c>
      <c r="D9" s="2">
        <v>1</v>
      </c>
      <c r="E9" s="2">
        <v>2</v>
      </c>
    </row>
    <row r="10" spans="1:5" ht="37.5" customHeight="1" thickBot="1" x14ac:dyDescent="0.3">
      <c r="A10" s="3"/>
      <c r="B10" s="4" t="s">
        <v>11</v>
      </c>
      <c r="C10" s="2"/>
      <c r="D10" s="2"/>
      <c r="E10" s="2">
        <f>SUM(E4:E9)</f>
        <v>24</v>
      </c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zoomScaleNormal="100" workbookViewId="0">
      <selection activeCell="D4" sqref="D4"/>
    </sheetView>
  </sheetViews>
  <sheetFormatPr defaultRowHeight="15" x14ac:dyDescent="0.25"/>
  <cols>
    <col min="6" max="6" width="18.7109375" customWidth="1"/>
  </cols>
  <sheetData>
    <row r="1" spans="1:6" ht="16.5" thickBot="1" x14ac:dyDescent="0.3">
      <c r="A1" s="32" t="s">
        <v>14</v>
      </c>
      <c r="B1" s="32"/>
      <c r="C1" s="32"/>
      <c r="D1" s="32"/>
      <c r="E1" s="32"/>
      <c r="F1" s="32"/>
    </row>
    <row r="2" spans="1:6" ht="32.25" thickBot="1" x14ac:dyDescent="0.3">
      <c r="A2" s="7" t="s">
        <v>15</v>
      </c>
      <c r="B2" s="33" t="s">
        <v>16</v>
      </c>
      <c r="C2" s="34"/>
      <c r="D2" s="35"/>
      <c r="E2" s="33" t="s">
        <v>17</v>
      </c>
      <c r="F2" s="35"/>
    </row>
    <row r="3" spans="1:6" ht="19.5" thickBot="1" x14ac:dyDescent="0.3">
      <c r="A3" s="3"/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</row>
    <row r="4" spans="1:6" ht="19.5" customHeight="1" thickBot="1" x14ac:dyDescent="0.3">
      <c r="A4" s="3">
        <v>1</v>
      </c>
      <c r="B4" s="2">
        <f>C4-1</f>
        <v>1</v>
      </c>
      <c r="C4" s="2">
        <f>'План работы'!E4</f>
        <v>2</v>
      </c>
      <c r="D4" s="2">
        <v>2</v>
      </c>
      <c r="E4" s="2">
        <f>(B4+4*C4+D4)/6</f>
        <v>1.8333333333333333</v>
      </c>
      <c r="F4" s="5">
        <f>((D4-B4)/6)^2</f>
        <v>2.7777777777777776E-2</v>
      </c>
    </row>
    <row r="5" spans="1:6" ht="19.5" customHeight="1" thickBot="1" x14ac:dyDescent="0.3">
      <c r="A5" s="3">
        <v>2</v>
      </c>
      <c r="B5" s="2">
        <f t="shared" ref="B5:B8" si="0">C5-1</f>
        <v>12</v>
      </c>
      <c r="C5" s="2">
        <f>'План работы'!E5</f>
        <v>13</v>
      </c>
      <c r="D5" s="2">
        <f t="shared" ref="D5:D9" si="1">C5+1</f>
        <v>14</v>
      </c>
      <c r="E5" s="2">
        <f t="shared" ref="E5:E9" si="2">(B5+4*C5+D5)/6</f>
        <v>13</v>
      </c>
      <c r="F5" s="5">
        <f t="shared" ref="F5:F9" si="3">((D5-B5)/6)^2</f>
        <v>0.1111111111111111</v>
      </c>
    </row>
    <row r="6" spans="1:6" ht="19.5" customHeight="1" thickBot="1" x14ac:dyDescent="0.3">
      <c r="A6" s="3">
        <v>3</v>
      </c>
      <c r="B6" s="2">
        <v>1</v>
      </c>
      <c r="C6" s="2">
        <f>'План работы'!E6</f>
        <v>2</v>
      </c>
      <c r="D6" s="2">
        <f t="shared" si="1"/>
        <v>3</v>
      </c>
      <c r="E6" s="2">
        <f t="shared" si="2"/>
        <v>2</v>
      </c>
      <c r="F6" s="5">
        <f t="shared" si="3"/>
        <v>0.1111111111111111</v>
      </c>
    </row>
    <row r="7" spans="1:6" ht="19.5" customHeight="1" thickBot="1" x14ac:dyDescent="0.3">
      <c r="A7" s="3">
        <v>4</v>
      </c>
      <c r="B7" s="2">
        <v>1</v>
      </c>
      <c r="C7" s="2">
        <f>'План работы'!E7</f>
        <v>3</v>
      </c>
      <c r="D7" s="2">
        <v>4</v>
      </c>
      <c r="E7" s="8">
        <f t="shared" si="2"/>
        <v>2.8333333333333335</v>
      </c>
      <c r="F7" s="5">
        <f t="shared" si="3"/>
        <v>0.25</v>
      </c>
    </row>
    <row r="8" spans="1:6" ht="19.5" customHeight="1" thickBot="1" x14ac:dyDescent="0.3">
      <c r="A8" s="3">
        <v>5</v>
      </c>
      <c r="B8" s="2">
        <f t="shared" si="0"/>
        <v>1</v>
      </c>
      <c r="C8" s="2">
        <f>'План работы'!E8</f>
        <v>2</v>
      </c>
      <c r="D8" s="2">
        <v>2</v>
      </c>
      <c r="E8" s="2">
        <f t="shared" si="2"/>
        <v>1.8333333333333333</v>
      </c>
      <c r="F8" s="5">
        <f t="shared" si="3"/>
        <v>2.7777777777777776E-2</v>
      </c>
    </row>
    <row r="9" spans="1:6" ht="19.5" customHeight="1" thickBot="1" x14ac:dyDescent="0.3">
      <c r="A9" s="3">
        <v>6</v>
      </c>
      <c r="B9" s="2">
        <v>1</v>
      </c>
      <c r="C9" s="2">
        <f>'План работы'!E9</f>
        <v>2</v>
      </c>
      <c r="D9" s="2">
        <v>2</v>
      </c>
      <c r="E9" s="2">
        <f t="shared" si="2"/>
        <v>1.8333333333333333</v>
      </c>
      <c r="F9" s="5">
        <f t="shared" si="3"/>
        <v>2.7777777777777776E-2</v>
      </c>
    </row>
    <row r="10" spans="1:6" ht="16.5" thickBot="1" x14ac:dyDescent="0.3">
      <c r="A10" s="3" t="s">
        <v>11</v>
      </c>
      <c r="B10" s="2">
        <f>SUM(B4:B9)</f>
        <v>17</v>
      </c>
      <c r="C10" s="2">
        <f t="shared" ref="C10:E10" si="4">SUM(C4:C9)</f>
        <v>24</v>
      </c>
      <c r="D10" s="2">
        <f t="shared" si="4"/>
        <v>27</v>
      </c>
      <c r="E10" s="8">
        <f t="shared" si="4"/>
        <v>23.333333333333332</v>
      </c>
      <c r="F10" s="9">
        <f>((D10-B10)/6)^2</f>
        <v>2.7777777777777781</v>
      </c>
    </row>
  </sheetData>
  <mergeCells count="3">
    <mergeCell ref="B2:D2"/>
    <mergeCell ref="E2:F2"/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zoomScale="85" zoomScaleNormal="85" workbookViewId="0">
      <selection activeCell="D8" sqref="D8"/>
    </sheetView>
  </sheetViews>
  <sheetFormatPr defaultRowHeight="15" x14ac:dyDescent="0.25"/>
  <cols>
    <col min="1" max="1" width="6.140625" customWidth="1"/>
    <col min="2" max="2" width="63.28515625" customWidth="1"/>
    <col min="3" max="3" width="17.85546875" customWidth="1"/>
    <col min="4" max="4" width="20.28515625" customWidth="1"/>
  </cols>
  <sheetData>
    <row r="1" spans="1:4" ht="16.5" thickBot="1" x14ac:dyDescent="0.3">
      <c r="A1" s="10" t="s">
        <v>23</v>
      </c>
    </row>
    <row r="2" spans="1:4" ht="56.25" customHeight="1" x14ac:dyDescent="0.25">
      <c r="A2" s="1" t="s">
        <v>1</v>
      </c>
      <c r="B2" s="1" t="s">
        <v>24</v>
      </c>
      <c r="C2" s="1" t="s">
        <v>3</v>
      </c>
      <c r="D2" s="11" t="s">
        <v>13</v>
      </c>
    </row>
    <row r="3" spans="1:4" ht="15.75" x14ac:dyDescent="0.25">
      <c r="A3" s="13">
        <v>1</v>
      </c>
      <c r="B3" s="14">
        <v>2</v>
      </c>
      <c r="C3" s="14">
        <v>3</v>
      </c>
      <c r="D3" s="15">
        <v>4</v>
      </c>
    </row>
    <row r="4" spans="1:4" ht="79.5" thickBot="1" x14ac:dyDescent="0.3">
      <c r="A4" s="3">
        <v>1</v>
      </c>
      <c r="B4" s="4" t="s">
        <v>4</v>
      </c>
      <c r="C4" s="2" t="s">
        <v>5</v>
      </c>
      <c r="D4" s="2">
        <v>3</v>
      </c>
    </row>
    <row r="5" spans="1:4" ht="39.75" customHeight="1" thickBot="1" x14ac:dyDescent="0.3">
      <c r="A5" s="3">
        <v>2</v>
      </c>
      <c r="B5" s="4" t="s">
        <v>6</v>
      </c>
      <c r="C5" s="2" t="s">
        <v>5</v>
      </c>
      <c r="D5" s="2">
        <v>12</v>
      </c>
    </row>
    <row r="6" spans="1:4" ht="39" customHeight="1" thickBot="1" x14ac:dyDescent="0.3">
      <c r="A6" s="3">
        <v>3</v>
      </c>
      <c r="B6" s="4" t="s">
        <v>7</v>
      </c>
      <c r="C6" s="2" t="s">
        <v>5</v>
      </c>
      <c r="D6" s="2">
        <f>'План работы'!E6</f>
        <v>2</v>
      </c>
    </row>
    <row r="7" spans="1:4" ht="38.25" customHeight="1" thickBot="1" x14ac:dyDescent="0.3">
      <c r="A7" s="3">
        <v>4</v>
      </c>
      <c r="B7" s="4" t="s">
        <v>8</v>
      </c>
      <c r="C7" s="2" t="s">
        <v>5</v>
      </c>
      <c r="D7" s="2">
        <v>2</v>
      </c>
    </row>
    <row r="8" spans="1:4" ht="38.25" customHeight="1" thickBot="1" x14ac:dyDescent="0.3">
      <c r="A8" s="3">
        <v>5</v>
      </c>
      <c r="B8" s="5" t="s">
        <v>9</v>
      </c>
      <c r="C8" s="2" t="s">
        <v>5</v>
      </c>
      <c r="D8" s="2">
        <f>'План работы'!E8</f>
        <v>2</v>
      </c>
    </row>
    <row r="9" spans="1:4" ht="38.25" customHeight="1" thickBot="1" x14ac:dyDescent="0.3">
      <c r="A9" s="3">
        <v>6</v>
      </c>
      <c r="B9" s="4" t="s">
        <v>10</v>
      </c>
      <c r="C9" s="2" t="s">
        <v>5</v>
      </c>
      <c r="D9" s="2">
        <v>3</v>
      </c>
    </row>
    <row r="10" spans="1:4" ht="15.75" x14ac:dyDescent="0.25">
      <c r="A10" s="12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zoomScale="90" zoomScaleNormal="90" workbookViewId="0">
      <selection activeCell="B6" sqref="B6"/>
    </sheetView>
  </sheetViews>
  <sheetFormatPr defaultRowHeight="15" x14ac:dyDescent="0.25"/>
  <cols>
    <col min="1" max="1" width="45.42578125" customWidth="1"/>
    <col min="2" max="2" width="15.140625" customWidth="1"/>
    <col min="3" max="3" width="16.7109375" customWidth="1"/>
    <col min="4" max="4" width="23" customWidth="1"/>
  </cols>
  <sheetData>
    <row r="1" spans="1:4" ht="16.5" thickBot="1" x14ac:dyDescent="0.3">
      <c r="A1" s="32" t="s">
        <v>55</v>
      </c>
      <c r="B1" s="32"/>
      <c r="C1" s="32"/>
      <c r="D1" s="32"/>
    </row>
    <row r="2" spans="1:4" ht="45.75" customHeight="1" thickBot="1" x14ac:dyDescent="0.3">
      <c r="A2" s="7" t="s">
        <v>56</v>
      </c>
      <c r="B2" s="24" t="s">
        <v>57</v>
      </c>
      <c r="C2" s="24" t="s">
        <v>58</v>
      </c>
      <c r="D2" s="24" t="s">
        <v>59</v>
      </c>
    </row>
    <row r="3" spans="1:4" ht="16.5" thickBot="1" x14ac:dyDescent="0.3">
      <c r="A3" s="3">
        <v>1</v>
      </c>
      <c r="B3" s="2">
        <v>2</v>
      </c>
      <c r="C3" s="2">
        <v>3</v>
      </c>
      <c r="D3" s="2">
        <v>4</v>
      </c>
    </row>
    <row r="4" spans="1:4" ht="111.75" customHeight="1" thickBot="1" x14ac:dyDescent="0.3">
      <c r="A4" s="23" t="s">
        <v>60</v>
      </c>
      <c r="B4" s="2">
        <f>'План работы'!E4</f>
        <v>2</v>
      </c>
      <c r="C4" s="8">
        <f>'Исходные данные'!B3*'Исходные данные'!B2/'Исходные данные'!B1*'Исходные данные'!B4</f>
        <v>50.473933649289094</v>
      </c>
      <c r="D4" s="8">
        <f>C4*B4</f>
        <v>100.94786729857819</v>
      </c>
    </row>
    <row r="5" spans="1:4" ht="33" customHeight="1" thickBot="1" x14ac:dyDescent="0.3">
      <c r="A5" s="22" t="s">
        <v>6</v>
      </c>
      <c r="B5" s="2">
        <f>'План работы'!E5</f>
        <v>13</v>
      </c>
      <c r="C5" s="8">
        <f>'Исходные данные'!B3*'Исходные данные'!B2/'Исходные данные'!B1*'Исходные данные'!B4</f>
        <v>50.473933649289094</v>
      </c>
      <c r="D5" s="8">
        <f>C5*B5</f>
        <v>656.16113744075824</v>
      </c>
    </row>
    <row r="6" spans="1:4" ht="18.75" customHeight="1" thickBot="1" x14ac:dyDescent="0.3">
      <c r="A6" s="22" t="s">
        <v>7</v>
      </c>
      <c r="B6" s="2">
        <f>'План работы'!E6</f>
        <v>2</v>
      </c>
      <c r="C6" s="8">
        <f>'Исходные данные'!B3*'Исходные данные'!B2/'Исходные данные'!B1*'Исходные данные'!B4</f>
        <v>50.473933649289094</v>
      </c>
      <c r="D6" s="8">
        <f t="shared" ref="D6:D9" si="0">C6*B6</f>
        <v>100.94786729857819</v>
      </c>
    </row>
    <row r="7" spans="1:4" ht="25.5" customHeight="1" thickBot="1" x14ac:dyDescent="0.3">
      <c r="A7" s="22" t="s">
        <v>61</v>
      </c>
      <c r="B7" s="2">
        <f>'План работы'!E7</f>
        <v>3</v>
      </c>
      <c r="C7" s="8">
        <f>'Исходные данные'!B3*'Исходные данные'!B2/'Исходные данные'!B1*'Исходные данные'!B4</f>
        <v>50.473933649289094</v>
      </c>
      <c r="D7" s="8">
        <f t="shared" si="0"/>
        <v>151.42180094786727</v>
      </c>
    </row>
    <row r="8" spans="1:4" ht="25.5" customHeight="1" thickBot="1" x14ac:dyDescent="0.3">
      <c r="A8" s="22" t="s">
        <v>9</v>
      </c>
      <c r="B8" s="2">
        <f>'План работы'!E8</f>
        <v>2</v>
      </c>
      <c r="C8" s="8">
        <f>'Исходные данные'!B3*'Исходные данные'!B2/'Исходные данные'!B1*'Исходные данные'!B4</f>
        <v>50.473933649289094</v>
      </c>
      <c r="D8" s="8">
        <f t="shared" si="0"/>
        <v>100.94786729857819</v>
      </c>
    </row>
    <row r="9" spans="1:4" ht="25.5" customHeight="1" thickBot="1" x14ac:dyDescent="0.3">
      <c r="A9" s="22" t="s">
        <v>62</v>
      </c>
      <c r="B9" s="2">
        <f>'План работы'!E9</f>
        <v>2</v>
      </c>
      <c r="C9" s="8">
        <f>'Исходные данные'!B3*'Исходные данные'!B2/'Исходные данные'!B1*'Исходные данные'!B4</f>
        <v>50.473933649289094</v>
      </c>
      <c r="D9" s="8">
        <f t="shared" si="0"/>
        <v>100.94786729857819</v>
      </c>
    </row>
    <row r="10" spans="1:4" ht="16.5" thickBot="1" x14ac:dyDescent="0.3">
      <c r="A10" s="22" t="s">
        <v>11</v>
      </c>
      <c r="B10" s="2">
        <f>'План работы'!E10</f>
        <v>24</v>
      </c>
      <c r="C10" s="8">
        <f>SUM(C4:C9)</f>
        <v>302.84360189573459</v>
      </c>
      <c r="D10" s="8">
        <f>SUM(D4:D9)</f>
        <v>1211.3744075829381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"/>
  <sheetViews>
    <sheetView topLeftCell="A4" workbookViewId="0">
      <selection activeCell="D12" sqref="D12"/>
    </sheetView>
  </sheetViews>
  <sheetFormatPr defaultRowHeight="15" x14ac:dyDescent="0.25"/>
  <cols>
    <col min="1" max="1" width="6.85546875" customWidth="1"/>
    <col min="2" max="2" width="51.5703125" customWidth="1"/>
    <col min="3" max="3" width="14.140625" customWidth="1"/>
    <col min="4" max="4" width="19.85546875" customWidth="1"/>
  </cols>
  <sheetData>
    <row r="1" spans="1:4" ht="16.5" thickBot="1" x14ac:dyDescent="0.3">
      <c r="A1" s="32" t="s">
        <v>25</v>
      </c>
      <c r="B1" s="32"/>
      <c r="C1" s="32"/>
      <c r="D1" s="32"/>
    </row>
    <row r="2" spans="1:4" ht="31.5" x14ac:dyDescent="0.25">
      <c r="A2" s="1" t="s">
        <v>26</v>
      </c>
      <c r="B2" s="1" t="s">
        <v>27</v>
      </c>
      <c r="C2" s="11" t="s">
        <v>42</v>
      </c>
      <c r="D2" s="17" t="s">
        <v>28</v>
      </c>
    </row>
    <row r="3" spans="1:4" ht="15.75" x14ac:dyDescent="0.25">
      <c r="A3" s="13">
        <v>1</v>
      </c>
      <c r="B3" s="14">
        <v>2</v>
      </c>
      <c r="C3" s="14">
        <v>3</v>
      </c>
      <c r="D3" s="15">
        <v>4</v>
      </c>
    </row>
    <row r="4" spans="1:4" ht="16.5" thickBot="1" x14ac:dyDescent="0.3">
      <c r="A4" s="3">
        <v>1</v>
      </c>
      <c r="B4" s="5" t="s">
        <v>29</v>
      </c>
      <c r="C4" s="25"/>
      <c r="D4" s="2">
        <v>0</v>
      </c>
    </row>
    <row r="5" spans="1:4" ht="20.25" customHeight="1" thickBot="1" x14ac:dyDescent="0.3">
      <c r="A5" s="3">
        <v>2</v>
      </c>
      <c r="B5" s="5" t="s">
        <v>30</v>
      </c>
      <c r="C5" s="2"/>
      <c r="D5" s="2"/>
    </row>
    <row r="6" spans="1:4" ht="20.25" customHeight="1" thickBot="1" x14ac:dyDescent="0.3">
      <c r="A6" s="19" t="s">
        <v>43</v>
      </c>
      <c r="B6" s="5" t="s">
        <v>31</v>
      </c>
      <c r="C6" s="18"/>
      <c r="D6" s="8">
        <f>'Основная зп'!D10</f>
        <v>1211.3744075829381</v>
      </c>
    </row>
    <row r="7" spans="1:4" ht="32.25" customHeight="1" thickBot="1" x14ac:dyDescent="0.3">
      <c r="A7" s="19" t="s">
        <v>44</v>
      </c>
      <c r="B7" s="5" t="s">
        <v>32</v>
      </c>
      <c r="C7" s="2"/>
      <c r="D7" s="16">
        <f>D6*'Исходные данные'!B5</f>
        <v>242.27488151658764</v>
      </c>
    </row>
    <row r="8" spans="1:4" ht="24.75" customHeight="1" thickBot="1" x14ac:dyDescent="0.3">
      <c r="A8" s="3">
        <v>3</v>
      </c>
      <c r="B8" s="5" t="s">
        <v>33</v>
      </c>
      <c r="C8" s="2"/>
      <c r="D8" s="2"/>
    </row>
    <row r="9" spans="1:4" ht="24.75" customHeight="1" thickBot="1" x14ac:dyDescent="0.3">
      <c r="A9" s="19" t="s">
        <v>45</v>
      </c>
      <c r="B9" s="5" t="s">
        <v>34</v>
      </c>
      <c r="C9" s="18"/>
      <c r="D9" s="16">
        <f>(D6+D7)*'Исходные данные'!B5</f>
        <v>290.72985781990513</v>
      </c>
    </row>
    <row r="10" spans="1:4" ht="23.25" customHeight="1" thickBot="1" x14ac:dyDescent="0.3">
      <c r="A10" s="19" t="s">
        <v>46</v>
      </c>
      <c r="B10" s="5" t="s">
        <v>35</v>
      </c>
      <c r="C10" s="2" t="s">
        <v>36</v>
      </c>
      <c r="D10" s="16">
        <f>(D6+D7)*'Исходные данные'!B7</f>
        <v>8.7218957345971546</v>
      </c>
    </row>
    <row r="11" spans="1:4" ht="23.25" customHeight="1" thickBot="1" x14ac:dyDescent="0.3">
      <c r="A11" s="3">
        <v>4</v>
      </c>
      <c r="B11" s="5" t="s">
        <v>37</v>
      </c>
      <c r="C11" s="2"/>
      <c r="D11" s="16">
        <f>D6*'Исходные данные'!B8</f>
        <v>787.39336492890982</v>
      </c>
    </row>
    <row r="12" spans="1:4" ht="23.25" customHeight="1" thickBot="1" x14ac:dyDescent="0.3">
      <c r="A12" s="3">
        <v>5</v>
      </c>
      <c r="B12" s="5" t="s">
        <v>38</v>
      </c>
      <c r="C12" s="2"/>
      <c r="D12" s="8">
        <f>SUM(D4:D11)</f>
        <v>2540.494407582938</v>
      </c>
    </row>
    <row r="13" spans="1:4" ht="23.25" customHeight="1" thickBot="1" x14ac:dyDescent="0.3">
      <c r="A13" s="3">
        <v>6</v>
      </c>
      <c r="B13" s="5" t="s">
        <v>39</v>
      </c>
      <c r="C13" s="2" t="s">
        <v>40</v>
      </c>
      <c r="D13" s="2"/>
    </row>
    <row r="14" spans="1:4" ht="25.5" customHeight="1" thickBot="1" x14ac:dyDescent="0.3">
      <c r="A14" s="3">
        <v>7</v>
      </c>
      <c r="B14" s="5" t="s">
        <v>41</v>
      </c>
      <c r="C14" s="2"/>
      <c r="D14" s="8">
        <f>D12</f>
        <v>2540.494407582938</v>
      </c>
    </row>
  </sheetData>
  <mergeCells count="1">
    <mergeCell ref="A1:D1"/>
  </mergeCells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2055" r:id="rId4">
          <objectPr defaultSize="0" autoPict="0" r:id="rId5">
            <anchor moveWithCells="1" sizeWithCells="1">
              <from>
                <xdr:col>2</xdr:col>
                <xdr:colOff>333375</xdr:colOff>
                <xdr:row>3</xdr:row>
                <xdr:rowOff>0</xdr:rowOff>
              </from>
              <to>
                <xdr:col>2</xdr:col>
                <xdr:colOff>552450</xdr:colOff>
                <xdr:row>4</xdr:row>
                <xdr:rowOff>0</xdr:rowOff>
              </to>
            </anchor>
          </objectPr>
        </oleObject>
      </mc:Choice>
      <mc:Fallback>
        <oleObject progId="Equation.3" shapeId="2055" r:id="rId4"/>
      </mc:Fallback>
    </mc:AlternateContent>
    <mc:AlternateContent xmlns:mc="http://schemas.openxmlformats.org/markup-compatibility/2006">
      <mc:Choice Requires="x14">
        <oleObject progId="Equation.3" shapeId="2054" r:id="rId6">
          <objectPr defaultSize="0" autoPict="0" r:id="rId7">
            <anchor moveWithCells="1" sizeWithCells="1">
              <from>
                <xdr:col>2</xdr:col>
                <xdr:colOff>314325</xdr:colOff>
                <xdr:row>5</xdr:row>
                <xdr:rowOff>28575</xdr:rowOff>
              </from>
              <to>
                <xdr:col>2</xdr:col>
                <xdr:colOff>838200</xdr:colOff>
                <xdr:row>5</xdr:row>
                <xdr:rowOff>209550</xdr:rowOff>
              </to>
            </anchor>
          </objectPr>
        </oleObject>
      </mc:Choice>
      <mc:Fallback>
        <oleObject progId="Equation.3" shapeId="2054" r:id="rId6"/>
      </mc:Fallback>
    </mc:AlternateContent>
    <mc:AlternateContent xmlns:mc="http://schemas.openxmlformats.org/markup-compatibility/2006">
      <mc:Choice Requires="x14">
        <oleObject progId="Equation.3" shapeId="2053" r:id="rId8">
          <objectPr defaultSize="0" autoPict="0" r:id="rId9">
            <anchor moveWithCells="1" sizeWithCells="1">
              <from>
                <xdr:col>2</xdr:col>
                <xdr:colOff>390525</xdr:colOff>
                <xdr:row>6</xdr:row>
                <xdr:rowOff>28575</xdr:rowOff>
              </from>
              <to>
                <xdr:col>2</xdr:col>
                <xdr:colOff>609600</xdr:colOff>
                <xdr:row>6</xdr:row>
                <xdr:rowOff>266700</xdr:rowOff>
              </to>
            </anchor>
          </objectPr>
        </oleObject>
      </mc:Choice>
      <mc:Fallback>
        <oleObject progId="Equation.3" shapeId="2053" r:id="rId8"/>
      </mc:Fallback>
    </mc:AlternateContent>
    <mc:AlternateContent xmlns:mc="http://schemas.openxmlformats.org/markup-compatibility/2006">
      <mc:Choice Requires="x14">
        <oleObject progId="Equation.3" shapeId="2052" r:id="rId10">
          <objectPr defaultSize="0" autoPict="0" r:id="rId11">
            <anchor moveWithCells="1" sizeWithCells="1">
              <from>
                <xdr:col>2</xdr:col>
                <xdr:colOff>342900</xdr:colOff>
                <xdr:row>8</xdr:row>
                <xdr:rowOff>38100</xdr:rowOff>
              </from>
              <to>
                <xdr:col>2</xdr:col>
                <xdr:colOff>619125</xdr:colOff>
                <xdr:row>8</xdr:row>
                <xdr:rowOff>276225</xdr:rowOff>
              </to>
            </anchor>
          </objectPr>
        </oleObject>
      </mc:Choice>
      <mc:Fallback>
        <oleObject progId="Equation.3" shapeId="2052" r:id="rId10"/>
      </mc:Fallback>
    </mc:AlternateContent>
    <mc:AlternateContent xmlns:mc="http://schemas.openxmlformats.org/markup-compatibility/2006">
      <mc:Choice Requires="x14">
        <oleObject progId="Equation.3" shapeId="2051" r:id="rId12">
          <objectPr defaultSize="0" autoPict="0" r:id="rId13">
            <anchor moveWithCells="1" sizeWithCells="1">
              <from>
                <xdr:col>2</xdr:col>
                <xdr:colOff>333375</xdr:colOff>
                <xdr:row>10</xdr:row>
                <xdr:rowOff>9525</xdr:rowOff>
              </from>
              <to>
                <xdr:col>2</xdr:col>
                <xdr:colOff>676275</xdr:colOff>
                <xdr:row>10</xdr:row>
                <xdr:rowOff>238125</xdr:rowOff>
              </to>
            </anchor>
          </objectPr>
        </oleObject>
      </mc:Choice>
      <mc:Fallback>
        <oleObject progId="Equation.3" shapeId="2051" r:id="rId12"/>
      </mc:Fallback>
    </mc:AlternateContent>
    <mc:AlternateContent xmlns:mc="http://schemas.openxmlformats.org/markup-compatibility/2006">
      <mc:Choice Requires="x14">
        <oleObject progId="Equation.3" shapeId="2050" r:id="rId14">
          <objectPr defaultSize="0" autoPict="0" r:id="rId15">
            <anchor moveWithCells="1" sizeWithCells="1">
              <from>
                <xdr:col>2</xdr:col>
                <xdr:colOff>352425</xdr:colOff>
                <xdr:row>11</xdr:row>
                <xdr:rowOff>28575</xdr:rowOff>
              </from>
              <to>
                <xdr:col>2</xdr:col>
                <xdr:colOff>581025</xdr:colOff>
                <xdr:row>11</xdr:row>
                <xdr:rowOff>247650</xdr:rowOff>
              </to>
            </anchor>
          </objectPr>
        </oleObject>
      </mc:Choice>
      <mc:Fallback>
        <oleObject progId="Equation.3" shapeId="2050" r:id="rId14"/>
      </mc:Fallback>
    </mc:AlternateContent>
    <mc:AlternateContent xmlns:mc="http://schemas.openxmlformats.org/markup-compatibility/2006">
      <mc:Choice Requires="x14">
        <oleObject progId="Equation.3" shapeId="2049" r:id="rId16">
          <objectPr defaultSize="0" autoPict="0" r:id="rId17">
            <anchor moveWithCells="1" sizeWithCells="1">
              <from>
                <xdr:col>2</xdr:col>
                <xdr:colOff>276225</xdr:colOff>
                <xdr:row>13</xdr:row>
                <xdr:rowOff>47625</xdr:rowOff>
              </from>
              <to>
                <xdr:col>2</xdr:col>
                <xdr:colOff>647700</xdr:colOff>
                <xdr:row>13</xdr:row>
                <xdr:rowOff>276225</xdr:rowOff>
              </to>
            </anchor>
          </objectPr>
        </oleObject>
      </mc:Choice>
      <mc:Fallback>
        <oleObject progId="Equation.3" shapeId="2049" r:id="rId16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"/>
  <sheetViews>
    <sheetView tabSelected="1" workbookViewId="0">
      <selection activeCell="F4" sqref="F4"/>
    </sheetView>
  </sheetViews>
  <sheetFormatPr defaultRowHeight="15" x14ac:dyDescent="0.25"/>
  <cols>
    <col min="1" max="1" width="38.28515625" customWidth="1"/>
    <col min="2" max="2" width="15.28515625" customWidth="1"/>
    <col min="3" max="3" width="17.7109375" customWidth="1"/>
    <col min="4" max="4" width="11.85546875" customWidth="1"/>
    <col min="6" max="6" width="36.28515625" customWidth="1"/>
    <col min="7" max="7" width="12.5703125" bestFit="1" customWidth="1"/>
    <col min="8" max="8" width="16.42578125" customWidth="1"/>
    <col min="9" max="9" width="16.28515625" customWidth="1"/>
  </cols>
  <sheetData>
    <row r="1" spans="1:9" ht="15.75" x14ac:dyDescent="0.25">
      <c r="A1" s="21" t="s">
        <v>63</v>
      </c>
      <c r="F1" s="10" t="s">
        <v>68</v>
      </c>
      <c r="G1" s="26"/>
      <c r="H1" s="26"/>
      <c r="I1" s="26"/>
    </row>
    <row r="2" spans="1:9" ht="47.25" x14ac:dyDescent="0.25">
      <c r="A2" s="6" t="s">
        <v>64</v>
      </c>
      <c r="B2" s="6" t="s">
        <v>66</v>
      </c>
      <c r="C2" s="6" t="s">
        <v>65</v>
      </c>
      <c r="D2" s="6" t="s">
        <v>67</v>
      </c>
      <c r="F2" s="29" t="s">
        <v>64</v>
      </c>
      <c r="G2" s="29" t="s">
        <v>79</v>
      </c>
      <c r="H2" s="29" t="s">
        <v>67</v>
      </c>
      <c r="I2" s="38" t="s">
        <v>80</v>
      </c>
    </row>
    <row r="3" spans="1:9" ht="26.25" customHeight="1" x14ac:dyDescent="0.25">
      <c r="A3" s="29" t="s">
        <v>78</v>
      </c>
      <c r="B3" s="6">
        <v>1</v>
      </c>
      <c r="C3" s="6">
        <v>0.5</v>
      </c>
      <c r="D3" s="6">
        <f>B3-C3</f>
        <v>0.5</v>
      </c>
      <c r="F3" s="29" t="s">
        <v>78</v>
      </c>
      <c r="G3" s="6">
        <v>500</v>
      </c>
      <c r="H3" s="6">
        <f>D3</f>
        <v>0.5</v>
      </c>
      <c r="I3" s="6">
        <f>H3*G3</f>
        <v>250</v>
      </c>
    </row>
    <row r="4" spans="1:9" ht="45" customHeight="1" x14ac:dyDescent="0.25">
      <c r="A4" s="29" t="s">
        <v>81</v>
      </c>
      <c r="B4" s="6">
        <v>1</v>
      </c>
      <c r="C4" s="6">
        <v>0.5</v>
      </c>
      <c r="D4" s="6">
        <f t="shared" ref="D4:D6" si="0">B4-C4</f>
        <v>0.5</v>
      </c>
      <c r="F4" s="29" t="s">
        <v>81</v>
      </c>
      <c r="G4" s="6">
        <v>500</v>
      </c>
      <c r="H4" s="6">
        <f t="shared" ref="H4:H5" si="1">D4</f>
        <v>0.5</v>
      </c>
      <c r="I4" s="6">
        <f t="shared" ref="I4:I6" si="2">H4*G4</f>
        <v>250</v>
      </c>
    </row>
    <row r="5" spans="1:9" ht="34.5" customHeight="1" x14ac:dyDescent="0.25">
      <c r="A5" s="29" t="s">
        <v>82</v>
      </c>
      <c r="B5" s="6">
        <v>0.3</v>
      </c>
      <c r="C5" s="6">
        <v>0.1</v>
      </c>
      <c r="D5" s="6">
        <f t="shared" si="0"/>
        <v>0.19999999999999998</v>
      </c>
      <c r="F5" s="29" t="s">
        <v>82</v>
      </c>
      <c r="G5" s="6">
        <v>10</v>
      </c>
      <c r="H5" s="6">
        <f t="shared" si="1"/>
        <v>0.19999999999999998</v>
      </c>
      <c r="I5" s="6">
        <f t="shared" si="2"/>
        <v>1.9999999999999998</v>
      </c>
    </row>
    <row r="6" spans="1:9" ht="31.5" customHeight="1" x14ac:dyDescent="0.25">
      <c r="A6" s="38" t="s">
        <v>83</v>
      </c>
      <c r="B6" s="6">
        <v>1</v>
      </c>
      <c r="C6" s="6">
        <v>0.5</v>
      </c>
      <c r="D6" s="6">
        <f t="shared" si="0"/>
        <v>0.5</v>
      </c>
      <c r="F6" s="38" t="s">
        <v>83</v>
      </c>
      <c r="G6" s="6">
        <v>500</v>
      </c>
      <c r="H6" s="6">
        <f>D6</f>
        <v>0.5</v>
      </c>
      <c r="I6" s="6">
        <f t="shared" si="2"/>
        <v>250</v>
      </c>
    </row>
    <row r="7" spans="1:9" ht="31.5" customHeight="1" x14ac:dyDescent="0.25">
      <c r="A7" s="29" t="s">
        <v>11</v>
      </c>
      <c r="B7" s="6">
        <f>SUM(B3:B6)</f>
        <v>3.3</v>
      </c>
      <c r="C7" s="6">
        <f>SUM(C3:C6)</f>
        <v>1.6</v>
      </c>
      <c r="D7" s="6">
        <f>B7-C7</f>
        <v>1.6999999999999997</v>
      </c>
      <c r="F7" s="29" t="s">
        <v>11</v>
      </c>
      <c r="G7" s="6">
        <f>SUM(G3:G6)</f>
        <v>1510</v>
      </c>
      <c r="H7" s="6">
        <f>SUM(H3:H6)</f>
        <v>1.7</v>
      </c>
      <c r="I7" s="6">
        <f>SUM(I3:I6)</f>
        <v>752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Исходные данные</vt:lpstr>
      <vt:lpstr>План работы</vt:lpstr>
      <vt:lpstr>Трудоемкость</vt:lpstr>
      <vt:lpstr>Ленточный график</vt:lpstr>
      <vt:lpstr>Основная зп</vt:lpstr>
      <vt:lpstr>Калькуляция</vt:lpstr>
      <vt:lpstr>Экономия времени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Оксана Н. Апетёнок</dc:creator>
  <cp:lastModifiedBy>Владислав</cp:lastModifiedBy>
  <dcterms:created xsi:type="dcterms:W3CDTF">2015-04-27T13:04:50Z</dcterms:created>
  <dcterms:modified xsi:type="dcterms:W3CDTF">2019-05-20T09:37:46Z</dcterms:modified>
</cp:coreProperties>
</file>